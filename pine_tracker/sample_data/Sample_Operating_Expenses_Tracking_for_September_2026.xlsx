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57f22f41561097/Documents/Personal/Olivia/VCHS/DECA/AI for Small Business/"/>
    </mc:Choice>
  </mc:AlternateContent>
  <xr:revisionPtr revIDLastSave="3" documentId="8_{12EE4F6D-5F8C-4CD8-9BA4-A6891C25AEC7}" xr6:coauthVersionLast="47" xr6:coauthVersionMax="47" xr10:uidLastSave="{9E008E03-0579-417F-866D-FD2747840223}"/>
  <bookViews>
    <workbookView xWindow="-28920" yWindow="-1785" windowWidth="29040" windowHeight="17520" xr2:uid="{3003AB4B-B9B5-48B1-8870-6C6A5066042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59" i="1" l="1"/>
  <c r="H48" i="1"/>
  <c r="S48" i="1" s="1"/>
  <c r="F48" i="1"/>
  <c r="D48" i="1"/>
  <c r="S45" i="1"/>
  <c r="S42" i="1"/>
  <c r="E39" i="1"/>
  <c r="S39" i="1" s="1"/>
  <c r="G33" i="1"/>
  <c r="S33" i="1" s="1"/>
  <c r="E33" i="1"/>
  <c r="G24" i="1"/>
  <c r="E24" i="1"/>
  <c r="S24" i="1" s="1"/>
  <c r="S9" i="1"/>
  <c r="S3" i="1"/>
</calcChain>
</file>

<file path=xl/sharedStrings.xml><?xml version="1.0" encoding="utf-8"?>
<sst xmlns="http://schemas.openxmlformats.org/spreadsheetml/2006/main" count="40" uniqueCount="31">
  <si>
    <t>9/5 Hayward Rental Program Fee</t>
  </si>
  <si>
    <t>Total</t>
  </si>
  <si>
    <t>681 Royston Ln #332, Hayward, CA 94544</t>
  </si>
  <si>
    <t>32640 Brenda Way #1, Union City, CA 94587</t>
  </si>
  <si>
    <t>673 Royston Ln #334, Hayward, CA 94544</t>
  </si>
  <si>
    <t>2024 Tupelo Way, Antioch, CA 94509</t>
  </si>
  <si>
    <t>1213 Ironwood Dr, Brentwood, CA 94513</t>
  </si>
  <si>
    <t>4127 Honey Dew Ct., Antioch, CA 94531</t>
  </si>
  <si>
    <t>905 Myrtlewood Ct., Antioch, CA 94509</t>
  </si>
  <si>
    <t>9/1 1 in. Flat Chip Brush, Great Stuff 12 oz. Big Gap Filler Spray Form Sealant</t>
  </si>
  <si>
    <t>9/6 Zinsser Bulls Eye 1-2-3 Plus Primer White 13 oz</t>
  </si>
  <si>
    <t>654 Country Ln, Oakley, CA 94561</t>
  </si>
  <si>
    <t>4035 Meadows Ln, Oakley, CA 94561</t>
  </si>
  <si>
    <t>125 Sandpiper Dr., Pittsburg, CA 94565</t>
  </si>
  <si>
    <t>9/9 WESTPAC MATERIALS3-1/2 Qt. All-Purpose Premixed Joint Compound</t>
  </si>
  <si>
    <t>9/13 Interior Semigloss Swiss Coffee 1 Gallon</t>
  </si>
  <si>
    <t>5130 Prewett Ranch Dr., Antioch, CA 94531</t>
  </si>
  <si>
    <t>940 Walnut Dr., Oakley, CA 94561</t>
  </si>
  <si>
    <t>9/13 Range Control Switch WB24T10025 for GE 8" Burner, WB24T10029 for GE 6" Burner at Amazon</t>
  </si>
  <si>
    <t>1650 Frisbie Ct., Concord, CA 94520</t>
  </si>
  <si>
    <t>9/15 Range Switch WB24T10022 for GE 6" Burner at Amazon</t>
  </si>
  <si>
    <t>Unit 1</t>
  </si>
  <si>
    <t>9/13 GE Electric Range Burners, Drip Pans, Terminal Block Kit at Amazon, only used one 8" range burner</t>
  </si>
  <si>
    <t>Unit 2</t>
  </si>
  <si>
    <t>9/2 Labor for tub surround and dump garbage by Camilo Zarate</t>
  </si>
  <si>
    <t>9/2 DELTA Single Lever Handle Kit in Chrome at Home Depot</t>
  </si>
  <si>
    <t>9/3 Toile seat hinge</t>
  </si>
  <si>
    <t>Unit 3</t>
  </si>
  <si>
    <t>Unit 4</t>
  </si>
  <si>
    <t>Unit 5</t>
  </si>
  <si>
    <t>Unit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</si>
</sst>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9420-9793-46AE-8AAD-A9988E89EC1D}">
  <dimension ref="A2:S59"/>
  <sheetViews>
    <sheetView tabSelected="1" workbookViewId="0">
      <selection activeCell="T65" sqref="T65"/>
    </sheetView>
  </sheetViews>
  <sheetFormatPr defaultRowHeight="15" x14ac:dyDescent="0.25"/>
  <sheetData>
    <row r="2" spans="1:19" x14ac:dyDescent="0.25">
      <c r="E2" t="s">
        <v>0</v>
      </c>
      <c r="S2" t="s">
        <v>1</v>
      </c>
    </row>
    <row r="3" spans="1:19" x14ac:dyDescent="0.25">
      <c r="A3" t="s">
        <v>2</v>
      </c>
      <c r="E3" s="1">
        <v>157</v>
      </c>
      <c r="S3" s="1">
        <f>E3</f>
        <v>157</v>
      </c>
    </row>
    <row r="6" spans="1:19" x14ac:dyDescent="0.25">
      <c r="A6" t="s">
        <v>3</v>
      </c>
    </row>
    <row r="8" spans="1:19" x14ac:dyDescent="0.25">
      <c r="E8" t="s">
        <v>0</v>
      </c>
      <c r="S8" t="s">
        <v>1</v>
      </c>
    </row>
    <row r="9" spans="1:19" x14ac:dyDescent="0.25">
      <c r="A9" t="s">
        <v>4</v>
      </c>
      <c r="E9" s="1">
        <v>157</v>
      </c>
      <c r="S9" s="1">
        <f>E9</f>
        <v>157</v>
      </c>
    </row>
    <row r="12" spans="1:19" x14ac:dyDescent="0.25">
      <c r="A12" t="s">
        <v>5</v>
      </c>
    </row>
    <row r="15" spans="1:19" x14ac:dyDescent="0.25">
      <c r="A15" t="s">
        <v>6</v>
      </c>
    </row>
    <row r="18" spans="1:19" x14ac:dyDescent="0.25">
      <c r="A18" t="s">
        <v>7</v>
      </c>
    </row>
    <row r="21" spans="1:19" x14ac:dyDescent="0.25">
      <c r="A21" t="s">
        <v>8</v>
      </c>
    </row>
    <row r="23" spans="1:19" x14ac:dyDescent="0.25">
      <c r="E23" t="s">
        <v>9</v>
      </c>
      <c r="G23" t="s">
        <v>10</v>
      </c>
      <c r="S23" t="s">
        <v>1</v>
      </c>
    </row>
    <row r="24" spans="1:19" x14ac:dyDescent="0.25">
      <c r="A24" t="s">
        <v>11</v>
      </c>
      <c r="E24" s="1">
        <f>1.17*1.1025+6.28*1.0875</f>
        <v>8.1194249999999997</v>
      </c>
      <c r="G24" s="1">
        <f>(14.38+0.3)*1.1025</f>
        <v>16.184700000000003</v>
      </c>
      <c r="S24" s="1">
        <f>E24+G24</f>
        <v>24.304125000000003</v>
      </c>
    </row>
    <row r="27" spans="1:19" x14ac:dyDescent="0.25">
      <c r="A27" t="s">
        <v>12</v>
      </c>
    </row>
    <row r="30" spans="1:19" x14ac:dyDescent="0.25">
      <c r="A30" t="s">
        <v>13</v>
      </c>
    </row>
    <row r="32" spans="1:19" x14ac:dyDescent="0.25">
      <c r="E32" t="s">
        <v>14</v>
      </c>
      <c r="G32" t="s">
        <v>15</v>
      </c>
      <c r="S32" t="s">
        <v>1</v>
      </c>
    </row>
    <row r="33" spans="1:19" x14ac:dyDescent="0.25">
      <c r="A33" t="s">
        <v>16</v>
      </c>
      <c r="E33" s="1">
        <f>9.88*1.1025</f>
        <v>10.892700000000001</v>
      </c>
      <c r="G33" s="1">
        <f>(43.98+0.65)*1.0875</f>
        <v>48.535124999999994</v>
      </c>
      <c r="S33" s="1">
        <f>E33+G33</f>
        <v>59.427824999999999</v>
      </c>
    </row>
    <row r="36" spans="1:19" x14ac:dyDescent="0.25">
      <c r="A36" t="s">
        <v>17</v>
      </c>
    </row>
    <row r="38" spans="1:19" x14ac:dyDescent="0.25">
      <c r="E38" t="s">
        <v>18</v>
      </c>
      <c r="S38" t="s">
        <v>1</v>
      </c>
    </row>
    <row r="39" spans="1:19" x14ac:dyDescent="0.25">
      <c r="A39" t="s">
        <v>19</v>
      </c>
      <c r="E39" s="1">
        <f>17.3+17.49</f>
        <v>34.79</v>
      </c>
      <c r="S39" s="1">
        <f>E39</f>
        <v>34.79</v>
      </c>
    </row>
    <row r="41" spans="1:19" x14ac:dyDescent="0.25">
      <c r="D41" t="s">
        <v>20</v>
      </c>
      <c r="S41" t="s">
        <v>1</v>
      </c>
    </row>
    <row r="42" spans="1:19" x14ac:dyDescent="0.25">
      <c r="B42" t="s">
        <v>21</v>
      </c>
      <c r="D42" s="1">
        <v>30.76</v>
      </c>
      <c r="S42" s="1">
        <f>D42</f>
        <v>30.76</v>
      </c>
    </row>
    <row r="44" spans="1:19" x14ac:dyDescent="0.25">
      <c r="D44" t="s">
        <v>22</v>
      </c>
      <c r="S44" t="s">
        <v>1</v>
      </c>
    </row>
    <row r="45" spans="1:19" x14ac:dyDescent="0.25">
      <c r="B45" t="s">
        <v>23</v>
      </c>
      <c r="D45">
        <v>56.22</v>
      </c>
      <c r="S45">
        <f>D45</f>
        <v>56.22</v>
      </c>
    </row>
    <row r="47" spans="1:19" x14ac:dyDescent="0.25">
      <c r="D47" t="s">
        <v>24</v>
      </c>
      <c r="F47" t="s">
        <v>25</v>
      </c>
      <c r="H47" t="s">
        <v>26</v>
      </c>
      <c r="S47" t="s">
        <v>1</v>
      </c>
    </row>
    <row r="48" spans="1:19" x14ac:dyDescent="0.25">
      <c r="B48" t="s">
        <v>27</v>
      </c>
      <c r="D48" s="1">
        <f>1500+100</f>
        <v>1600</v>
      </c>
      <c r="F48" s="1">
        <f>35.48*1.0975</f>
        <v>38.939299999999996</v>
      </c>
      <c r="H48" s="1">
        <f>2.98*1.1025</f>
        <v>3.28545</v>
      </c>
      <c r="S48" s="1">
        <f>D48+F48+H48</f>
        <v>1642.2247500000001</v>
      </c>
    </row>
    <row r="51" spans="2:19" x14ac:dyDescent="0.25">
      <c r="B51" t="s">
        <v>28</v>
      </c>
    </row>
    <row r="54" spans="2:19" x14ac:dyDescent="0.25">
      <c r="B54" t="s">
        <v>29</v>
      </c>
    </row>
    <row r="57" spans="2:19" x14ac:dyDescent="0.25">
      <c r="B57" t="s">
        <v>30</v>
      </c>
    </row>
    <row r="59" spans="2:19" x14ac:dyDescent="0.25">
      <c r="O59" t="s">
        <v>1</v>
      </c>
      <c r="S59" s="1">
        <f>S3+S9+S24+S33+S39+S42+S45+S48</f>
        <v>2161.7267000000002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Kang</dc:creator>
  <cp:lastModifiedBy>Wei Kang</cp:lastModifiedBy>
  <dcterms:created xsi:type="dcterms:W3CDTF">2026-09-17T05:33:41Z</dcterms:created>
  <dcterms:modified xsi:type="dcterms:W3CDTF">2026-09-17T05:36:20Z</dcterms:modified>
</cp:coreProperties>
</file>